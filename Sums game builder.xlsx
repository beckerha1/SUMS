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er Harrison\sums\"/>
    </mc:Choice>
  </mc:AlternateContent>
  <xr:revisionPtr revIDLastSave="0" documentId="13_ncr:1_{AF2CD909-6098-4D82-B60E-C35F4C13F0D3}" xr6:coauthVersionLast="47" xr6:coauthVersionMax="47" xr10:uidLastSave="{00000000-0000-0000-0000-000000000000}"/>
  <bookViews>
    <workbookView xWindow="-38520" yWindow="-6165" windowWidth="38640" windowHeight="15840" xr2:uid="{5AFC5289-93F5-43EB-B4E8-84082F5D5A35}"/>
  </bookViews>
  <sheets>
    <sheet name="Designer" sheetId="1" r:id="rId1"/>
    <sheet name="Code" sheetId="2" r:id="rId2"/>
    <sheet name="Puzzle da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2" l="1"/>
  <c r="A10" i="2"/>
  <c r="A9" i="2"/>
  <c r="A8" i="2"/>
  <c r="A7" i="2"/>
  <c r="A6" i="2"/>
  <c r="A5" i="2"/>
  <c r="N4" i="1"/>
  <c r="A3" i="2"/>
  <c r="G11" i="2"/>
  <c r="G10" i="2"/>
  <c r="G9" i="2"/>
  <c r="G8" i="2"/>
  <c r="G7" i="2"/>
  <c r="G6" i="2"/>
  <c r="G5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A1" i="2" l="1"/>
</calcChain>
</file>

<file path=xl/sharedStrings.xml><?xml version="1.0" encoding="utf-8"?>
<sst xmlns="http://schemas.openxmlformats.org/spreadsheetml/2006/main" count="63" uniqueCount="3">
  <si>
    <t/>
  </si>
  <si>
    <t>Highest number</t>
  </si>
  <si>
    <t>Puzzle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</si>
</sst>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indexed="64"/>
      </left>
      <right style="hair">
        <color theme="0" tint="-0.249977111117893"/>
      </right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 style="thin">
        <color indexed="64"/>
      </right>
      <top style="thin">
        <color indexed="64"/>
      </top>
      <bottom style="hair">
        <color theme="0" tint="-0.249977111117893"/>
      </bottom>
      <diagonal/>
    </border>
    <border>
      <left style="thin">
        <color indexed="64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thin">
        <color indexed="64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indexed="64"/>
      </left>
      <right style="hair">
        <color theme="0" tint="-0.249977111117893"/>
      </right>
      <top style="hair">
        <color theme="0" tint="-0.249977111117893"/>
      </top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indexed="64"/>
      </bottom>
      <diagonal/>
    </border>
    <border>
      <left style="hair">
        <color theme="0" tint="-0.249977111117893"/>
      </left>
      <right style="thin">
        <color indexed="64"/>
      </right>
      <top style="hair">
        <color theme="0" tint="-0.249977111117893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1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C961-1B19-451C-A524-D01BDC93739B}">
  <dimension ref="A1:N9"/>
  <sheetViews>
    <sheetView showGridLines="0" tabSelected="1" workbookViewId="0">
      <selection activeCell="AI9" sqref="AI9"/>
    </sheetView>
  </sheetViews>
  <sheetFormatPr defaultColWidth="3.6640625" defaultRowHeight="19.95" customHeight="1" x14ac:dyDescent="0.3"/>
  <cols>
    <col min="14" max="14" width="3.6640625" customWidth="1"/>
  </cols>
  <sheetData>
    <row r="1" spans="1:14" ht="19.95" customHeight="1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</row>
    <row r="2" spans="1:14" ht="19.95" customHeight="1" x14ac:dyDescent="0.3">
      <c r="A2" t="s">
        <v>0</v>
      </c>
      <c r="B2" s="4"/>
      <c r="C2" s="5"/>
      <c r="D2" s="5"/>
      <c r="E2" s="5"/>
      <c r="F2" s="5"/>
      <c r="G2" s="5"/>
      <c r="H2" s="6"/>
      <c r="I2" t="s">
        <v>0</v>
      </c>
      <c r="J2" s="13" t="s">
        <v>2</v>
      </c>
      <c r="N2" s="15">
        <v>17</v>
      </c>
    </row>
    <row r="3" spans="1:14" ht="19.95" customHeight="1" x14ac:dyDescent="0.3">
      <c r="A3" t="s">
        <v>0</v>
      </c>
      <c r="B3" s="7"/>
      <c r="C3" s="3"/>
      <c r="D3" s="3"/>
      <c r="E3" s="3"/>
      <c r="F3" s="3"/>
      <c r="G3" s="3"/>
      <c r="H3" s="8"/>
      <c r="I3" t="s">
        <v>0</v>
      </c>
    </row>
    <row r="4" spans="1:14" ht="19.95" customHeight="1" x14ac:dyDescent="0.3">
      <c r="A4" t="s">
        <v>0</v>
      </c>
      <c r="B4" s="7"/>
      <c r="C4" s="3"/>
      <c r="D4" s="3"/>
      <c r="E4" s="3"/>
      <c r="F4" s="3"/>
      <c r="G4" s="3"/>
      <c r="H4" s="8"/>
      <c r="I4" t="s">
        <v>0</v>
      </c>
      <c r="J4" s="13" t="s">
        <v>1</v>
      </c>
      <c r="K4" s="13"/>
      <c r="L4" s="13"/>
      <c r="M4" s="13"/>
      <c r="N4" s="12">
        <f>49-COUNTIF(B2:H8,"x")</f>
        <v>49</v>
      </c>
    </row>
    <row r="5" spans="1:14" ht="19.95" customHeight="1" x14ac:dyDescent="0.3">
      <c r="A5" t="s">
        <v>0</v>
      </c>
      <c r="B5" s="7"/>
      <c r="C5" s="3"/>
      <c r="D5" s="3"/>
      <c r="E5" s="3"/>
      <c r="F5" s="3"/>
      <c r="G5" s="3"/>
      <c r="H5" s="8"/>
      <c r="I5" t="s">
        <v>0</v>
      </c>
    </row>
    <row r="6" spans="1:14" ht="19.95" customHeight="1" x14ac:dyDescent="0.3">
      <c r="A6" t="s">
        <v>0</v>
      </c>
      <c r="B6" s="7"/>
      <c r="C6" s="3"/>
      <c r="D6" s="3"/>
      <c r="E6" s="3"/>
      <c r="F6" s="3"/>
      <c r="G6" s="3"/>
      <c r="H6" s="8"/>
      <c r="I6" t="s">
        <v>0</v>
      </c>
    </row>
    <row r="7" spans="1:14" ht="19.95" customHeight="1" x14ac:dyDescent="0.3">
      <c r="A7" t="s">
        <v>0</v>
      </c>
      <c r="B7" s="7"/>
      <c r="C7" s="3"/>
      <c r="D7" s="3"/>
      <c r="E7" s="3"/>
      <c r="F7" s="3"/>
      <c r="G7" s="3"/>
      <c r="H7" s="8"/>
      <c r="I7" t="s">
        <v>0</v>
      </c>
    </row>
    <row r="8" spans="1:14" ht="19.95" customHeight="1" x14ac:dyDescent="0.3">
      <c r="A8" t="s">
        <v>0</v>
      </c>
      <c r="B8" s="9"/>
      <c r="C8" s="10"/>
      <c r="D8" s="10"/>
      <c r="E8" s="10"/>
      <c r="F8" s="10"/>
      <c r="G8" s="10"/>
      <c r="H8" s="11"/>
      <c r="I8" t="s">
        <v>0</v>
      </c>
    </row>
    <row r="9" spans="1:14" ht="19.95" customHeight="1" x14ac:dyDescent="0.3">
      <c r="A9" s="1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</row>
  </sheetData>
  <conditionalFormatting sqref="B2:H8">
    <cfRule type="containsText" dxfId="0" priority="1" operator="containsText" text="x">
      <formula>NOT(ISERROR(SEARCH("x",B2)))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B815-0698-4094-AAFC-911A45304C92}">
  <dimension ref="A1:I18"/>
  <sheetViews>
    <sheetView workbookViewId="0"/>
  </sheetViews>
  <sheetFormatPr defaultRowHeight="14.4" x14ac:dyDescent="0.3"/>
  <cols>
    <col min="1" max="1" width="32.109375" customWidth="1"/>
    <col min="9" max="9" width="41.44140625" customWidth="1"/>
  </cols>
  <sheetData>
    <row r="1" spans="1:9" ht="144" x14ac:dyDescent="0.3">
      <c r="A1" s="2" t="str">
        <f>"export const puzzle"&amp;Designer!N2&amp;" = ["&amp;CHAR(10)&amp;A5&amp;B5&amp;C5&amp;D5&amp;E5&amp;F5&amp;G5&amp;A6&amp;B6&amp;C6&amp;D6&amp;E6&amp;F6&amp;G6&amp;A7&amp;B7&amp;C7&amp;D7&amp;E7&amp;F7&amp;G7&amp;A8&amp;B8&amp;C8&amp;D8&amp;E8&amp;F8&amp;G8&amp;A9&amp;B9&amp;C9&amp;D9&amp;E9&amp;F9&amp;G9&amp;A10&amp;B10&amp;C10&amp;D10&amp;E10&amp;F10&amp;G10&amp;A11&amp;B11&amp;C11&amp;D11&amp;E11&amp;F11&amp;G11&amp;"];"&amp;CHAR(10)</f>
        <v xml:space="preserve">export const puzzle17 = [
  [null, null, null, null, null, null, null], 
  [null, null, null, null, null, null, null], 
  [null, null, null, null, null, null, null], 
  [null, null, null, null, null, null, null], 
  [null, null, null, null, null, null, null], 
  [null, null, null, null, null, null, null], 
  [null, null, null, null, null, null, null]
];
</v>
      </c>
    </row>
    <row r="2" spans="1:9" x14ac:dyDescent="0.3">
      <c r="A2" s="2"/>
    </row>
    <row r="3" spans="1:9" x14ac:dyDescent="0.3">
      <c r="A3" s="2" t="str">
        <f>"{ name: """&amp;Designer!N2&amp;""", grid: puzzle"&amp;Designer!N2&amp;" },"</f>
        <v>{ name: "17", grid: puzzle17 },</v>
      </c>
    </row>
    <row r="5" spans="1:9" ht="28.8" x14ac:dyDescent="0.3">
      <c r="A5" s="14" t="str">
        <f>IF(ISBLANK(Designer!B2),"  [null, ",IF(Designer!B2="x","  ['X', ","  ["&amp;Designer!B2&amp;", "))</f>
        <v xml:space="preserve">  [null, </v>
      </c>
      <c r="B5" s="14" t="str">
        <f>IF(ISBLANK(Designer!C2),"null, ",IF(Designer!C2="x","'X', ",Designer!C2&amp;", "))</f>
        <v xml:space="preserve">null, </v>
      </c>
      <c r="C5" s="14" t="str">
        <f>IF(ISBLANK(Designer!D2),"null, ",IF(Designer!D2="x","'X', ",Designer!D2&amp;", "))</f>
        <v xml:space="preserve">null, </v>
      </c>
      <c r="D5" s="14" t="str">
        <f>IF(ISBLANK(Designer!E2),"null, ",IF(Designer!E2="x","'X', ",Designer!E2&amp;", "))</f>
        <v xml:space="preserve">null, </v>
      </c>
      <c r="E5" s="14" t="str">
        <f>IF(ISBLANK(Designer!F2),"null, ",IF(Designer!F2="x","'X', ",Designer!F2&amp;", "))</f>
        <v xml:space="preserve">null, </v>
      </c>
      <c r="F5" s="14" t="str">
        <f>IF(ISBLANK(Designer!G2),"null, ",IF(Designer!G2="x","'X', ",Designer!G2&amp;", "))</f>
        <v xml:space="preserve">null, </v>
      </c>
      <c r="G5" s="14" t="str">
        <f>IF(ISBLANK(Designer!H2),"null], "&amp;CHAR(10),IF(Designer!H2="x","'X'], "&amp;CHAR(10),Designer!H2&amp;"], "&amp;CHAR(10)))</f>
        <v xml:space="preserve">null], 
</v>
      </c>
      <c r="I5" s="2"/>
    </row>
    <row r="6" spans="1:9" ht="28.8" x14ac:dyDescent="0.3">
      <c r="A6" s="14" t="str">
        <f>IF(ISBLANK(Designer!B3),"  [null, ",IF(Designer!B3="x","  ['X', ","  ["&amp;Designer!B3&amp;", "))</f>
        <v xml:space="preserve">  [null, </v>
      </c>
      <c r="B6" s="14" t="str">
        <f>IF(ISBLANK(Designer!C3),"null, ",IF(Designer!C3="x","'X', ",Designer!C3&amp;", "))</f>
        <v xml:space="preserve">null, </v>
      </c>
      <c r="C6" s="14" t="str">
        <f>IF(ISBLANK(Designer!D3),"null, ",IF(Designer!D3="x","'X', ",Designer!D3&amp;", "))</f>
        <v xml:space="preserve">null, </v>
      </c>
      <c r="D6" s="14" t="str">
        <f>IF(ISBLANK(Designer!E3),"null, ",IF(Designer!E3="x","'X', ",Designer!E3&amp;", "))</f>
        <v xml:space="preserve">null, </v>
      </c>
      <c r="E6" s="14" t="str">
        <f>IF(ISBLANK(Designer!F3),"null, ",IF(Designer!F3="x","'X', ",Designer!F3&amp;", "))</f>
        <v xml:space="preserve">null, </v>
      </c>
      <c r="F6" s="14" t="str">
        <f>IF(ISBLANK(Designer!G3),"null, ",IF(Designer!G3="x","'X', ",Designer!G3&amp;", "))</f>
        <v xml:space="preserve">null, </v>
      </c>
      <c r="G6" s="14" t="str">
        <f>IF(ISBLANK(Designer!H3),"null], "&amp;CHAR(10),IF(Designer!H3="x","'X'], "&amp;CHAR(10),Designer!H3&amp;"], "&amp;CHAR(10)))</f>
        <v xml:space="preserve">null], 
</v>
      </c>
    </row>
    <row r="7" spans="1:9" ht="144.6" customHeight="1" x14ac:dyDescent="0.3">
      <c r="A7" s="14" t="str">
        <f>IF(ISBLANK(Designer!B4),"  [null, ",IF(Designer!B4="x","  ['X', ","  ["&amp;Designer!B4&amp;", "))</f>
        <v xml:space="preserve">  [null, </v>
      </c>
      <c r="B7" s="14" t="str">
        <f>IF(ISBLANK(Designer!C4),"null, ",IF(Designer!C4="x","'X', ",Designer!C4&amp;", "))</f>
        <v xml:space="preserve">null, </v>
      </c>
      <c r="C7" s="14" t="str">
        <f>IF(ISBLANK(Designer!D4),"null, ",IF(Designer!D4="x","'X', ",Designer!D4&amp;", "))</f>
        <v xml:space="preserve">null, </v>
      </c>
      <c r="D7" s="14" t="str">
        <f>IF(ISBLANK(Designer!E4),"null, ",IF(Designer!E4="x","'X', ",Designer!E4&amp;", "))</f>
        <v xml:space="preserve">null, </v>
      </c>
      <c r="E7" s="14" t="str">
        <f>IF(ISBLANK(Designer!F4),"null, ",IF(Designer!F4="x","'X', ",Designer!F4&amp;", "))</f>
        <v xml:space="preserve">null, </v>
      </c>
      <c r="F7" s="14" t="str">
        <f>IF(ISBLANK(Designer!G4),"null, ",IF(Designer!G4="x","'X', ",Designer!G4&amp;", "))</f>
        <v xml:space="preserve">null, </v>
      </c>
      <c r="G7" s="14" t="str">
        <f>IF(ISBLANK(Designer!H4),"null], "&amp;CHAR(10),IF(Designer!H4="x","'X'], "&amp;CHAR(10),Designer!H4&amp;"], "&amp;CHAR(10)))</f>
        <v xml:space="preserve">null], 
</v>
      </c>
      <c r="I7" s="2"/>
    </row>
    <row r="8" spans="1:9" ht="28.8" x14ac:dyDescent="0.3">
      <c r="A8" s="14" t="str">
        <f>IF(ISBLANK(Designer!B5),"  [null, ",IF(Designer!B5="x","  ['X', ","  ["&amp;Designer!B5&amp;", "))</f>
        <v xml:space="preserve">  [null, </v>
      </c>
      <c r="B8" s="14" t="str">
        <f>IF(ISBLANK(Designer!C5),"null, ",IF(Designer!C5="x","'X', ",Designer!C5&amp;", "))</f>
        <v xml:space="preserve">null, </v>
      </c>
      <c r="C8" s="14" t="str">
        <f>IF(ISBLANK(Designer!D5),"null, ",IF(Designer!D5="x","'X', ",Designer!D5&amp;", "))</f>
        <v xml:space="preserve">null, </v>
      </c>
      <c r="D8" s="14" t="str">
        <f>IF(ISBLANK(Designer!E5),"null, ",IF(Designer!E5="x","'X', ",Designer!E5&amp;", "))</f>
        <v xml:space="preserve">null, </v>
      </c>
      <c r="E8" s="14" t="str">
        <f>IF(ISBLANK(Designer!F5),"null, ",IF(Designer!F5="x","'X', ",Designer!F5&amp;", "))</f>
        <v xml:space="preserve">null, </v>
      </c>
      <c r="F8" s="14" t="str">
        <f>IF(ISBLANK(Designer!G5),"null, ",IF(Designer!G5="x","'X', ",Designer!G5&amp;", "))</f>
        <v xml:space="preserve">null, </v>
      </c>
      <c r="G8" s="14" t="str">
        <f>IF(ISBLANK(Designer!H5),"null], "&amp;CHAR(10),IF(Designer!H5="x","'X'], "&amp;CHAR(10),Designer!H5&amp;"], "&amp;CHAR(10)))</f>
        <v xml:space="preserve">null], 
</v>
      </c>
    </row>
    <row r="9" spans="1:9" ht="28.8" x14ac:dyDescent="0.3">
      <c r="A9" s="14" t="str">
        <f>IF(ISBLANK(Designer!B6),"  [null, ",IF(Designer!B6="x","  ['X', ","  ["&amp;Designer!B6&amp;", "))</f>
        <v xml:space="preserve">  [null, </v>
      </c>
      <c r="B9" s="14" t="str">
        <f>IF(ISBLANK(Designer!C6),"null, ",IF(Designer!C6="x","'X', ",Designer!C6&amp;", "))</f>
        <v xml:space="preserve">null, </v>
      </c>
      <c r="C9" s="14" t="str">
        <f>IF(ISBLANK(Designer!D6),"null, ",IF(Designer!D6="x","'X', ",Designer!D6&amp;", "))</f>
        <v xml:space="preserve">null, </v>
      </c>
      <c r="D9" s="14" t="str">
        <f>IF(ISBLANK(Designer!E6),"null, ",IF(Designer!E6="x","'X', ",Designer!E6&amp;", "))</f>
        <v xml:space="preserve">null, </v>
      </c>
      <c r="E9" s="14" t="str">
        <f>IF(ISBLANK(Designer!F6),"null, ",IF(Designer!F6="x","'X', ",Designer!F6&amp;", "))</f>
        <v xml:space="preserve">null, </v>
      </c>
      <c r="F9" s="14" t="str">
        <f>IF(ISBLANK(Designer!G6),"null, ",IF(Designer!G6="x","'X', ",Designer!G6&amp;", "))</f>
        <v xml:space="preserve">null, </v>
      </c>
      <c r="G9" s="14" t="str">
        <f>IF(ISBLANK(Designer!H6),"null], "&amp;CHAR(10),IF(Designer!H6="x","'X'], "&amp;CHAR(10),Designer!H6&amp;"], "&amp;CHAR(10)))</f>
        <v xml:space="preserve">null], 
</v>
      </c>
    </row>
    <row r="10" spans="1:9" ht="28.8" x14ac:dyDescent="0.3">
      <c r="A10" s="14" t="str">
        <f>IF(ISBLANK(Designer!B7),"  [null, ",IF(Designer!B7="x","  ['X', ","  ["&amp;Designer!B7&amp;", "))</f>
        <v xml:space="preserve">  [null, </v>
      </c>
      <c r="B10" s="14" t="str">
        <f>IF(ISBLANK(Designer!C7),"null, ",IF(Designer!C7="x","'X', ",Designer!C7&amp;", "))</f>
        <v xml:space="preserve">null, </v>
      </c>
      <c r="C10" s="14" t="str">
        <f>IF(ISBLANK(Designer!D7),"null, ",IF(Designer!D7="x","'X', ",Designer!D7&amp;", "))</f>
        <v xml:space="preserve">null, </v>
      </c>
      <c r="D10" s="14" t="str">
        <f>IF(ISBLANK(Designer!E7),"null, ",IF(Designer!E7="x","'X', ",Designer!E7&amp;", "))</f>
        <v xml:space="preserve">null, </v>
      </c>
      <c r="E10" s="14" t="str">
        <f>IF(ISBLANK(Designer!F7),"null, ",IF(Designer!F7="x","'X', ",Designer!F7&amp;", "))</f>
        <v xml:space="preserve">null, </v>
      </c>
      <c r="F10" s="14" t="str">
        <f>IF(ISBLANK(Designer!G7),"null, ",IF(Designer!G7="x","'X', ",Designer!G7&amp;", "))</f>
        <v xml:space="preserve">null, </v>
      </c>
      <c r="G10" s="14" t="str">
        <f>IF(ISBLANK(Designer!H7),"null], "&amp;CHAR(10),IF(Designer!H7="x","'X'], "&amp;CHAR(10),Designer!H7&amp;"], "&amp;CHAR(10)))</f>
        <v xml:space="preserve">null], 
</v>
      </c>
    </row>
    <row r="11" spans="1:9" ht="28.8" x14ac:dyDescent="0.3">
      <c r="A11" s="14" t="str">
        <f>IF(ISBLANK(Designer!B8),"  [null, ",IF(Designer!B8="x","  ['X', ","  ["&amp;Designer!B8&amp;", "))</f>
        <v xml:space="preserve">  [null, </v>
      </c>
      <c r="B11" s="14" t="str">
        <f>IF(ISBLANK(Designer!C8),"null, ",IF(Designer!C8="x","'X', ",Designer!C8&amp;", "))</f>
        <v xml:space="preserve">null, </v>
      </c>
      <c r="C11" s="14" t="str">
        <f>IF(ISBLANK(Designer!D8),"null, ",IF(Designer!D8="x","'X', ",Designer!D8&amp;", "))</f>
        <v xml:space="preserve">null, </v>
      </c>
      <c r="D11" s="14" t="str">
        <f>IF(ISBLANK(Designer!E8),"null, ",IF(Designer!E8="x","'X', ",Designer!E8&amp;", "))</f>
        <v xml:space="preserve">null, </v>
      </c>
      <c r="E11" s="14" t="str">
        <f>IF(ISBLANK(Designer!F8),"null, ",IF(Designer!F8="x","'X', ",Designer!F8&amp;", "))</f>
        <v xml:space="preserve">null, </v>
      </c>
      <c r="F11" s="14" t="str">
        <f>IF(ISBLANK(Designer!G8),"null, ",IF(Designer!G8="x","'X', ",Designer!G8&amp;", "))</f>
        <v xml:space="preserve">null, </v>
      </c>
      <c r="G11" s="14" t="str">
        <f>IF(ISBLANK(Designer!H8),"null]"&amp;CHAR(10),IF(Designer!H8="x","'X']" &amp; CHAR(10),Designer!H8&amp;"]"&amp;CHAR(10)))</f>
        <v xml:space="preserve">null]
</v>
      </c>
    </row>
    <row r="13" spans="1:9" x14ac:dyDescent="0.3">
      <c r="A13" s="2"/>
    </row>
    <row r="15" spans="1:9" x14ac:dyDescent="0.3">
      <c r="A15" s="2"/>
    </row>
    <row r="18" spans="1:1" x14ac:dyDescent="0.3">
      <c r="A18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43EB-1F81-47AA-978C-CAEBA597C0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Designer</vt:lpstr>
      <vt:lpstr>Code</vt:lpstr>
      <vt:lpstr>Puzzle dates</vt:lpstr>
    </vt:vector>
  </TitlesOfParts>
  <Company>BCG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Becker</dc:creator>
  <cp:lastModifiedBy>Harrison Becker</cp:lastModifiedBy>
  <dcterms:created xsi:type="dcterms:W3CDTF">2025-05-02T16:59:05Z</dcterms:created>
  <dcterms:modified xsi:type="dcterms:W3CDTF">2025-05-06T18:27:19Z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2025-05-02T16:59:11Z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e6ea528a-261b-4c64-8c0b-7eae312921f1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10, 3, 0, 1</vt:lpwstr>
  </property>
</Properties>
</file>